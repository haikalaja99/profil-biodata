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\"/>
    </mc:Choice>
  </mc:AlternateContent>
  <xr:revisionPtr revIDLastSave="0" documentId="8_{827236AD-9045-4E5C-ACC9-9B2F4DDCD2DF}" xr6:coauthVersionLast="47" xr6:coauthVersionMax="47" xr10:uidLastSave="{00000000-0000-0000-0000-000000000000}"/>
  <bookViews>
    <workbookView xWindow="-110" yWindow="-110" windowWidth="19420" windowHeight="10300" xr2:uid="{4F48D886-9850-4065-BC4A-96AA97266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</calcChain>
</file>

<file path=xl/sharedStrings.xml><?xml version="1.0" encoding="utf-8"?>
<sst xmlns="http://schemas.openxmlformats.org/spreadsheetml/2006/main" count="37" uniqueCount="37">
  <si>
    <t>Timestamp</t>
  </si>
  <si>
    <t>Bagaimana penilaian Anda terhadap kecepatan sistem dalam memproses dan menghasilkan draf notulen setelah rapat selesai?</t>
  </si>
  <si>
    <t>Apakah sistem ini mampu menangani proses pencatatan poin-poin penting rapat secara stabil tanpa mengalami lag atau error?</t>
  </si>
  <si>
    <t>Seberapa akurat dan mudah dipahami format data (seperti daftar hadir, hasil keputusan, dan rencana aksi) yang dihasilkan oleh sistem notulen ini?</t>
  </si>
  <si>
    <t>Apakah informasi atau riwayat notulen rapat terdahulu dapat dicari dan diakses kembali dengan mudah melalui sistem?</t>
  </si>
  <si>
    <t>Apakah pemanfaatan sistem ini berhasil menghemat penggunaan kertas, tinta, atau perangkat fisik lainnya di organisasi Anda?</t>
  </si>
  <si>
    <t>Seberapa besar sistem ini mampu mengurangi waktu dan tenaga yang harus dikeluarkan oleh staf khusus untuk menyusun notulen secara manual?</t>
  </si>
  <si>
    <t>Apakah sistem ini memberikan jaminan keamanan yang baik terkait hak akses dokumen, sehingga notulen rapat penting tidak dapat diubah atau dilihat oleh pihak yang tidak berwenang?</t>
  </si>
  <si>
    <t>Seberapa baik sistem dalam meminimalkan risiko kesalahan input data atau hilangnya dokumen notulen yang sedang diproses?</t>
  </si>
  <si>
    <t>Apakah langkah-langkah atau alur kerja yang ada di dalam sistem ini terasa praktis dan tidak berbelit-belit saat digunakan selama rapat berlangsung?</t>
  </si>
  <si>
    <t>Seberapa efektif sistem ini dalam mengintegrasikan berbagai fitur (seperti rekaman suara, teks, dan pembagian dokumen) dalam satu platform tanpa membuang waktu pengguna?</t>
  </si>
  <si>
    <t>Seberapa mudah sistem notulen rapat ini dipelajari dan dioperasikan oleh pengguna baru (user-friendly)?</t>
  </si>
  <si>
    <t>Jika terjadi kendala teknis atau kesulitan saat menggunakan sistem, seberapa cepat dan tanggap bantuan teknis atau fitur panduan yang disediakan dalam menyelesaikan masalah tersebut?</t>
  </si>
  <si>
    <t>Column 13</t>
  </si>
  <si>
    <t>Nama Lengkap</t>
  </si>
  <si>
    <t>31/05/2026 23:31:04</t>
  </si>
  <si>
    <t>Uswah Hasanah As'ad</t>
  </si>
  <si>
    <t>31/05/2026 23:31:30</t>
  </si>
  <si>
    <t>habibah</t>
  </si>
  <si>
    <t>31/05/2026 23:31:54</t>
  </si>
  <si>
    <t>ida susanti</t>
  </si>
  <si>
    <t>31/05/2026 23:32:22</t>
  </si>
  <si>
    <t>Jumriyah</t>
  </si>
  <si>
    <t>31/05/2026 23:33:10</t>
  </si>
  <si>
    <t>sunarsih s</t>
  </si>
  <si>
    <t>31/05/2026 23:33:36</t>
  </si>
  <si>
    <t>yanti</t>
  </si>
  <si>
    <t>31/05/2026 23:34:01</t>
  </si>
  <si>
    <t>sarwo</t>
  </si>
  <si>
    <t>31/05/2026 23:34:20</t>
  </si>
  <si>
    <t>wiwin sunarti</t>
  </si>
  <si>
    <t>31/05/2026 23:34:41</t>
  </si>
  <si>
    <t>maenah</t>
  </si>
  <si>
    <t>31/05/2026 23:35:02</t>
  </si>
  <si>
    <t>suryati</t>
  </si>
  <si>
    <t>skor total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</si>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</sst>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43" fontId="0" fillId="0" borderId="1" xfId="1" applyFont="1" applyBorder="1"/>
    <xf numFmtId="0" fontId="0" fillId="0" borderId="1" xfId="0" applyBorder="1"/>
    <xf numFmtId="0" fontId="3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Sheet1!$P$2:$P$11</c:f>
              <c:numCache>
                <c:formatCode>_(* #,##0.00_);_(* \(#,##0.00\);_(* "-"??_);_(@_)</c:formatCode>
                <c:ptCount val="10"/>
                <c:pt idx="0">
                  <c:v>3.8333333333333335</c:v>
                </c:pt>
                <c:pt idx="1">
                  <c:v>3.9166666666666665</c:v>
                </c:pt>
                <c:pt idx="2">
                  <c:v>4.083333333333333</c:v>
                </c:pt>
                <c:pt idx="3">
                  <c:v>3.8333333333333335</c:v>
                </c:pt>
                <c:pt idx="4">
                  <c:v>3.75</c:v>
                </c:pt>
                <c:pt idx="5">
                  <c:v>3.9166666666666665</c:v>
                </c:pt>
                <c:pt idx="6">
                  <c:v>3.8333333333333335</c:v>
                </c:pt>
                <c:pt idx="7">
                  <c:v>4</c:v>
                </c:pt>
                <c:pt idx="8">
                  <c:v>3.5833333333333335</c:v>
                </c:pt>
                <c:pt idx="9">
                  <c:v>4.083333333333333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9-4037-9382-35C89BE7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334143"/>
        <c:axId val="2083352383"/>
      </c:radarChart>
      <c:catAx>
        <c:axId val="208333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52383"/>
        <c:crosses val="autoZero"/>
        <c:auto val="1"/>
        <c:lblAlgn val="ctr"/>
        <c:lblOffset val="100"/>
        <c:noMultiLvlLbl val="0"/>
      </c:catAx>
      <c:valAx>
        <c:axId val="208335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3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0</xdr:row>
      <xdr:rowOff>4197350</xdr:rowOff>
    </xdr:from>
    <xdr:to>
      <xdr:col>25</xdr:col>
      <xdr:colOff>47625</xdr:colOff>
      <xdr:row>5</xdr:row>
      <xdr:rowOff>469900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E21D0E-4216-ECE3-26D3-07A16479E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DA48-4A70-46C2-B6C5-21DDFDDFA88D}">
  <dimension ref="A1:Q11"/>
  <sheetViews>
    <sheetView tabSelected="1" zoomScale="73" workbookViewId="0">
      <selection activeCell="J1" sqref="J1"/>
    </sheetView>
  </sheetViews>
  <sheetFormatPr defaultRowHeight="14.5" x14ac:dyDescent="0.35"/>
  <cols>
    <col min="2" max="2" width="8.7265625" customWidth="1"/>
  </cols>
  <sheetData>
    <row r="1" spans="1:17" ht="3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35</v>
      </c>
      <c r="Q1" s="1" t="s">
        <v>36</v>
      </c>
    </row>
    <row r="2" spans="1:17" ht="39" x14ac:dyDescent="0.35">
      <c r="A2" s="2" t="s">
        <v>15</v>
      </c>
      <c r="B2" s="2">
        <v>4</v>
      </c>
      <c r="C2" s="2">
        <v>3</v>
      </c>
      <c r="D2" s="2">
        <v>4</v>
      </c>
      <c r="E2" s="2">
        <v>4</v>
      </c>
      <c r="F2" s="2">
        <v>3</v>
      </c>
      <c r="G2" s="2">
        <v>4</v>
      </c>
      <c r="H2" s="2">
        <v>3</v>
      </c>
      <c r="I2" s="2">
        <v>5</v>
      </c>
      <c r="J2" s="2">
        <v>4</v>
      </c>
      <c r="K2" s="2">
        <v>5</v>
      </c>
      <c r="L2" s="2">
        <v>4</v>
      </c>
      <c r="M2" s="2">
        <v>3</v>
      </c>
      <c r="N2" s="3"/>
      <c r="O2" s="4" t="s">
        <v>16</v>
      </c>
      <c r="P2" s="5">
        <f>SUM(B2:M2)/12</f>
        <v>3.8333333333333335</v>
      </c>
      <c r="Q2" s="6" t="str">
        <f>IF(P2&lt;=1.8,"SANGAT TIDAK PUAS",IF(P2&lt;=2.6,"TIDAK PUAS",IF(P2&lt;=3.4,"NETRAL",IF(P2&lt;=4.2,"PUAS",IF(P2&lt;=5,"SANGAT PUAS")))))</f>
        <v>PUAS</v>
      </c>
    </row>
    <row r="3" spans="1:17" ht="39" x14ac:dyDescent="0.35">
      <c r="A3" s="7" t="s">
        <v>17</v>
      </c>
      <c r="B3" s="7">
        <v>5</v>
      </c>
      <c r="C3" s="7">
        <v>3</v>
      </c>
      <c r="D3" s="7">
        <v>4</v>
      </c>
      <c r="E3" s="7">
        <v>4</v>
      </c>
      <c r="F3" s="7">
        <v>3</v>
      </c>
      <c r="G3" s="7">
        <v>4</v>
      </c>
      <c r="H3" s="7">
        <v>3</v>
      </c>
      <c r="I3" s="7">
        <v>3</v>
      </c>
      <c r="J3" s="7">
        <v>4</v>
      </c>
      <c r="K3" s="7">
        <v>5</v>
      </c>
      <c r="L3" s="7">
        <v>5</v>
      </c>
      <c r="M3" s="7">
        <v>4</v>
      </c>
      <c r="N3" s="8"/>
      <c r="O3" s="9" t="s">
        <v>18</v>
      </c>
      <c r="P3" s="5">
        <f t="shared" ref="P3:P11" si="0">SUM(B3:M3)/12</f>
        <v>3.9166666666666665</v>
      </c>
      <c r="Q3" s="6" t="str">
        <f t="shared" ref="Q3:Q11" si="1">IF(P3&lt;=1.8,"SANGAT TIDAK PUAS",IF(P3&lt;=2.6,"TIDAK PUAS",IF(P3&lt;=3.4,"NETRAL",IF(P3&lt;=4.2,"PUAS",IF(P3&lt;=5,"SANGAT PUAS")))))</f>
        <v>PUAS</v>
      </c>
    </row>
    <row r="4" spans="1:17" ht="39" x14ac:dyDescent="0.35">
      <c r="A4" s="2" t="s">
        <v>19</v>
      </c>
      <c r="B4" s="2">
        <v>5</v>
      </c>
      <c r="C4" s="2">
        <v>5</v>
      </c>
      <c r="D4" s="2">
        <v>4</v>
      </c>
      <c r="E4" s="2">
        <v>4</v>
      </c>
      <c r="F4" s="2">
        <v>4</v>
      </c>
      <c r="G4" s="2">
        <v>3</v>
      </c>
      <c r="H4" s="2">
        <v>5</v>
      </c>
      <c r="I4" s="2">
        <v>5</v>
      </c>
      <c r="J4" s="2">
        <v>3</v>
      </c>
      <c r="K4" s="2">
        <v>3</v>
      </c>
      <c r="L4" s="2">
        <v>5</v>
      </c>
      <c r="M4" s="2">
        <v>3</v>
      </c>
      <c r="N4" s="3"/>
      <c r="O4" s="4" t="s">
        <v>20</v>
      </c>
      <c r="P4" s="5">
        <f t="shared" si="0"/>
        <v>4.083333333333333</v>
      </c>
      <c r="Q4" s="6" t="str">
        <f t="shared" si="1"/>
        <v>PUAS</v>
      </c>
    </row>
    <row r="5" spans="1:17" ht="39" x14ac:dyDescent="0.35">
      <c r="A5" s="7" t="s">
        <v>21</v>
      </c>
      <c r="B5" s="7">
        <v>5</v>
      </c>
      <c r="C5" s="7">
        <v>4</v>
      </c>
      <c r="D5" s="7">
        <v>3</v>
      </c>
      <c r="E5" s="7">
        <v>3</v>
      </c>
      <c r="F5" s="7">
        <v>3</v>
      </c>
      <c r="G5" s="7">
        <v>5</v>
      </c>
      <c r="H5" s="7">
        <v>5</v>
      </c>
      <c r="I5" s="7">
        <v>2</v>
      </c>
      <c r="J5" s="7">
        <v>5</v>
      </c>
      <c r="K5" s="7">
        <v>5</v>
      </c>
      <c r="L5" s="7">
        <v>3</v>
      </c>
      <c r="M5" s="7">
        <v>3</v>
      </c>
      <c r="N5" s="8"/>
      <c r="O5" s="9" t="s">
        <v>22</v>
      </c>
      <c r="P5" s="5">
        <f t="shared" si="0"/>
        <v>3.8333333333333335</v>
      </c>
      <c r="Q5" s="6" t="str">
        <f t="shared" si="1"/>
        <v>PUAS</v>
      </c>
    </row>
    <row r="6" spans="1:17" ht="39" x14ac:dyDescent="0.35">
      <c r="A6" s="2" t="s">
        <v>23</v>
      </c>
      <c r="B6" s="2">
        <v>5</v>
      </c>
      <c r="C6" s="2">
        <v>3</v>
      </c>
      <c r="D6" s="2">
        <v>3</v>
      </c>
      <c r="E6" s="2">
        <v>5</v>
      </c>
      <c r="F6" s="2">
        <v>4</v>
      </c>
      <c r="G6" s="2">
        <v>4</v>
      </c>
      <c r="H6" s="2">
        <v>3</v>
      </c>
      <c r="I6" s="2">
        <v>3</v>
      </c>
      <c r="J6" s="2">
        <v>4</v>
      </c>
      <c r="K6" s="2">
        <v>3</v>
      </c>
      <c r="L6" s="2">
        <v>4</v>
      </c>
      <c r="M6" s="2">
        <v>4</v>
      </c>
      <c r="N6" s="3"/>
      <c r="O6" s="4" t="s">
        <v>24</v>
      </c>
      <c r="P6" s="5">
        <f t="shared" si="0"/>
        <v>3.75</v>
      </c>
      <c r="Q6" s="6" t="str">
        <f t="shared" si="1"/>
        <v>PUAS</v>
      </c>
    </row>
    <row r="7" spans="1:17" ht="39" x14ac:dyDescent="0.35">
      <c r="A7" s="7" t="s">
        <v>25</v>
      </c>
      <c r="B7" s="7">
        <v>3</v>
      </c>
      <c r="C7" s="7">
        <v>3</v>
      </c>
      <c r="D7" s="7">
        <v>5</v>
      </c>
      <c r="E7" s="7">
        <v>5</v>
      </c>
      <c r="F7" s="7">
        <v>3</v>
      </c>
      <c r="G7" s="7">
        <v>5</v>
      </c>
      <c r="H7" s="7">
        <v>3</v>
      </c>
      <c r="I7" s="7">
        <v>4</v>
      </c>
      <c r="J7" s="7">
        <v>3</v>
      </c>
      <c r="K7" s="7">
        <v>4</v>
      </c>
      <c r="L7" s="7">
        <v>4</v>
      </c>
      <c r="M7" s="7">
        <v>5</v>
      </c>
      <c r="N7" s="8"/>
      <c r="O7" s="9" t="s">
        <v>26</v>
      </c>
      <c r="P7" s="5">
        <f t="shared" si="0"/>
        <v>3.9166666666666665</v>
      </c>
      <c r="Q7" s="6" t="str">
        <f t="shared" si="1"/>
        <v>PUAS</v>
      </c>
    </row>
    <row r="8" spans="1:17" ht="39" x14ac:dyDescent="0.35">
      <c r="A8" s="2" t="s">
        <v>27</v>
      </c>
      <c r="B8" s="2">
        <v>5</v>
      </c>
      <c r="C8" s="2">
        <v>4</v>
      </c>
      <c r="D8" s="2">
        <v>4</v>
      </c>
      <c r="E8" s="2">
        <v>4</v>
      </c>
      <c r="F8" s="2">
        <v>3</v>
      </c>
      <c r="G8" s="2">
        <v>3</v>
      </c>
      <c r="H8" s="2">
        <v>4</v>
      </c>
      <c r="I8" s="2">
        <v>3</v>
      </c>
      <c r="J8" s="2">
        <v>3</v>
      </c>
      <c r="K8" s="2">
        <v>4</v>
      </c>
      <c r="L8" s="2">
        <v>4</v>
      </c>
      <c r="M8" s="2">
        <v>5</v>
      </c>
      <c r="N8" s="3"/>
      <c r="O8" s="4" t="s">
        <v>28</v>
      </c>
      <c r="P8" s="5">
        <f t="shared" si="0"/>
        <v>3.8333333333333335</v>
      </c>
      <c r="Q8" s="6" t="str">
        <f t="shared" si="1"/>
        <v>PUAS</v>
      </c>
    </row>
    <row r="9" spans="1:17" ht="39" x14ac:dyDescent="0.35">
      <c r="A9" s="7" t="s">
        <v>29</v>
      </c>
      <c r="B9" s="7">
        <v>5</v>
      </c>
      <c r="C9" s="7">
        <v>4</v>
      </c>
      <c r="D9" s="7">
        <v>5</v>
      </c>
      <c r="E9" s="7">
        <v>3</v>
      </c>
      <c r="F9" s="7">
        <v>3</v>
      </c>
      <c r="G9" s="7">
        <v>4</v>
      </c>
      <c r="H9" s="7">
        <v>4</v>
      </c>
      <c r="I9" s="7">
        <v>5</v>
      </c>
      <c r="J9" s="7">
        <v>4</v>
      </c>
      <c r="K9" s="7">
        <v>3</v>
      </c>
      <c r="L9" s="7">
        <v>3</v>
      </c>
      <c r="M9" s="7">
        <v>5</v>
      </c>
      <c r="N9" s="8"/>
      <c r="O9" s="9" t="s">
        <v>30</v>
      </c>
      <c r="P9" s="5">
        <f t="shared" si="0"/>
        <v>4</v>
      </c>
      <c r="Q9" s="6" t="str">
        <f t="shared" si="1"/>
        <v>PUAS</v>
      </c>
    </row>
    <row r="10" spans="1:17" ht="39" x14ac:dyDescent="0.35">
      <c r="A10" s="2" t="s">
        <v>31</v>
      </c>
      <c r="B10" s="2">
        <v>5</v>
      </c>
      <c r="C10" s="2">
        <v>3</v>
      </c>
      <c r="D10" s="2">
        <v>3</v>
      </c>
      <c r="E10" s="2">
        <v>4</v>
      </c>
      <c r="F10" s="2">
        <v>2</v>
      </c>
      <c r="G10" s="2">
        <v>3</v>
      </c>
      <c r="H10" s="2">
        <v>3</v>
      </c>
      <c r="I10" s="2">
        <v>3</v>
      </c>
      <c r="J10" s="2">
        <v>5</v>
      </c>
      <c r="K10" s="2">
        <v>4</v>
      </c>
      <c r="L10" s="2">
        <v>3</v>
      </c>
      <c r="M10" s="2">
        <v>5</v>
      </c>
      <c r="N10" s="3"/>
      <c r="O10" s="4" t="s">
        <v>32</v>
      </c>
      <c r="P10" s="5">
        <f t="shared" si="0"/>
        <v>3.5833333333333335</v>
      </c>
      <c r="Q10" s="6" t="str">
        <f t="shared" si="1"/>
        <v>PUAS</v>
      </c>
    </row>
    <row r="11" spans="1:17" ht="39" x14ac:dyDescent="0.35">
      <c r="A11" s="7" t="s">
        <v>33</v>
      </c>
      <c r="B11" s="7">
        <v>5</v>
      </c>
      <c r="C11" s="7">
        <v>5</v>
      </c>
      <c r="D11" s="7">
        <v>3</v>
      </c>
      <c r="E11" s="7">
        <v>4</v>
      </c>
      <c r="F11" s="7">
        <v>4</v>
      </c>
      <c r="G11" s="7">
        <v>4</v>
      </c>
      <c r="H11" s="7">
        <v>5</v>
      </c>
      <c r="I11" s="7">
        <v>3</v>
      </c>
      <c r="J11" s="7">
        <v>3</v>
      </c>
      <c r="K11" s="7">
        <v>5</v>
      </c>
      <c r="L11" s="7">
        <v>5</v>
      </c>
      <c r="M11" s="7">
        <v>3</v>
      </c>
      <c r="N11" s="8"/>
      <c r="O11" s="9" t="s">
        <v>34</v>
      </c>
      <c r="P11" s="5">
        <f t="shared" si="0"/>
        <v>4.083333333333333</v>
      </c>
      <c r="Q11" s="6" t="str">
        <f t="shared" si="1"/>
        <v>PUAS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5613</dc:creator>
  <cp:lastModifiedBy>ASUS 5613</cp:lastModifiedBy>
  <dcterms:created xsi:type="dcterms:W3CDTF">2026-05-31T15:42:38Z</dcterms:created>
  <dcterms:modified xsi:type="dcterms:W3CDTF">2026-06-08T07:50:15Z</dcterms:modified>
</cp:coreProperties>
</file>